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simandlm\Desktop\"/>
    </mc:Choice>
  </mc:AlternateContent>
  <xr:revisionPtr revIDLastSave="0" documentId="13_ncr:1_{4A8B87AA-3076-49DB-8414-5C34F8BD5D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4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<sst xmlns="http://schemas.openxmlformats.org/spreadsheetml/2006/main" count="50" uniqueCount="35">
  <si>
    <t>Item</t>
  </si>
  <si>
    <t>eshop</t>
  </si>
  <si>
    <t>pcs</t>
  </si>
  <si>
    <t>Price EUR with VAT</t>
  </si>
  <si>
    <t>Total EUR with VAT</t>
  </si>
  <si>
    <t>own</t>
  </si>
  <si>
    <t>Hadex.cz</t>
  </si>
  <si>
    <t>techfun.eu</t>
  </si>
  <si>
    <t>ESP32 S3 Development Board Kit with 2.8 Inch Display With IPEX 2.4G Wifi Module 8MB PSRAM 16MB FLASH ESP32 S3 N16R8 CAM Type-C</t>
  </si>
  <si>
    <t>Aliexpress.com</t>
  </si>
  <si>
    <t>OV2645 75mm 120°</t>
  </si>
  <si>
    <t>ESP32-S3 Development Boards with Expansion Adapter</t>
  </si>
  <si>
    <t>Dratek.cz</t>
  </si>
  <si>
    <t>obalove-materialy.c</t>
  </si>
  <si>
    <t>Arctic 120 mm Cooler</t>
  </si>
  <si>
    <t>AMD 80 mm Cooler</t>
  </si>
  <si>
    <t>120 mm PWM Fan</t>
  </si>
  <si>
    <t>AMD 80 mm Fan</t>
  </si>
  <si>
    <t>150 W ATX Power Supply</t>
  </si>
  <si>
    <t>Black Plastic Hinge 40 × 30 mm</t>
  </si>
  <si>
    <t>Dupont Jumper Wires 40-pin, 10 cm, Male-to-Male</t>
  </si>
  <si>
    <t>9 × 9 × 12 mm Heatsink with Self-Adhesive Layer</t>
  </si>
  <si>
    <t>Plastic Standoff M3 × 30 mm, 6 mm Stud, Pack of 20</t>
  </si>
  <si>
    <t>M3 Plastic Nut, Pack of 20</t>
  </si>
  <si>
    <t>MAMUT GLUE Crystal Den Braven Adhesive, 25 ml, Transparent</t>
  </si>
  <si>
    <t>ATX HU-M28 Breakout Power Supply Board</t>
  </si>
  <si>
    <t>DS18B20 Temperature Probe, 100 cm (MY18E20 Chip)</t>
  </si>
  <si>
    <t>60 W TEC1-12706 Peltier Module</t>
  </si>
  <si>
    <t>15 A 400 W PWM MOSFET</t>
  </si>
  <si>
    <t>TavoBox Thermo 400 × 300 × 173 mm</t>
  </si>
  <si>
    <t>Total</t>
  </si>
  <si>
    <t>LED 10mm white 15Cd/ 20mA 30°</t>
  </si>
  <si>
    <t>Self-adhesive acrylic mirrors 17.5 cm x 15.5 cm</t>
  </si>
  <si>
    <t>Solarmi EU Smart Wi-Fi plug V3, ESPHome</t>
  </si>
  <si>
    <t>enbat.cz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</si>
</sst>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family val="2"/>
      <charset val="238"/>
      <scheme val="minor"/>
    </font>
    <font>
      <b/>
      <sz val="10"/>
      <color rgb="FF000000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4" fillId="0" borderId="0" xfId="0" applyFont="1"/>
    <xf numFmtId="164" fontId="3" fillId="0" borderId="0" xfId="0" applyNumberFormat="1" applyFon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liexpress.com/" TargetMode="External"/><Relationship Id="rId13" Type="http://schemas.openxmlformats.org/officeDocument/2006/relationships/hyperlink" Target="http://hadex.cz/" TargetMode="External"/><Relationship Id="rId3" Type="http://schemas.openxmlformats.org/officeDocument/2006/relationships/hyperlink" Target="http://hadex.cz/" TargetMode="External"/><Relationship Id="rId7" Type="http://schemas.openxmlformats.org/officeDocument/2006/relationships/hyperlink" Target="http://aliexpress.com/" TargetMode="External"/><Relationship Id="rId12" Type="http://schemas.openxmlformats.org/officeDocument/2006/relationships/hyperlink" Target="http://dratek.cz/" TargetMode="External"/><Relationship Id="rId2" Type="http://schemas.openxmlformats.org/officeDocument/2006/relationships/hyperlink" Target="http://hadex.cz/" TargetMode="External"/><Relationship Id="rId1" Type="http://schemas.openxmlformats.org/officeDocument/2006/relationships/hyperlink" Target="http://hadex.cz/" TargetMode="External"/><Relationship Id="rId6" Type="http://schemas.openxmlformats.org/officeDocument/2006/relationships/hyperlink" Target="http://hadex.cz/" TargetMode="External"/><Relationship Id="rId11" Type="http://schemas.openxmlformats.org/officeDocument/2006/relationships/hyperlink" Target="http://dratek.cz/" TargetMode="External"/><Relationship Id="rId5" Type="http://schemas.openxmlformats.org/officeDocument/2006/relationships/hyperlink" Target="http://hadex.cz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hadex.cz/" TargetMode="External"/><Relationship Id="rId4" Type="http://schemas.openxmlformats.org/officeDocument/2006/relationships/hyperlink" Target="http://hadex.cz/" TargetMode="External"/><Relationship Id="rId9" Type="http://schemas.openxmlformats.org/officeDocument/2006/relationships/hyperlink" Target="http://aliexpress.com/" TargetMode="External"/><Relationship Id="rId14" Type="http://schemas.openxmlformats.org/officeDocument/2006/relationships/hyperlink" Target="http://hadex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4"/>
  <sheetViews>
    <sheetView tabSelected="1" workbookViewId="0">
      <selection activeCell="A24" sqref="A24:E24"/>
    </sheetView>
  </sheetViews>
  <sheetFormatPr defaultColWidth="12.5703125" defaultRowHeight="15.75" customHeight="1" x14ac:dyDescent="0.2"/>
  <cols>
    <col min="1" max="1" width="49.42578125" customWidth="1"/>
    <col min="4" max="4" width="16.85546875" customWidth="1"/>
    <col min="5" max="5" width="15.57031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1" t="s">
        <v>14</v>
      </c>
      <c r="B2" s="1" t="s">
        <v>5</v>
      </c>
      <c r="C2" s="1">
        <v>1</v>
      </c>
      <c r="D2" s="2">
        <v>0</v>
      </c>
      <c r="E2" s="2">
        <f t="shared" ref="E2:E23" si="0">C2*D2</f>
        <v>0</v>
      </c>
    </row>
    <row r="3" spans="1:5" ht="15.75" customHeight="1" x14ac:dyDescent="0.2">
      <c r="A3" s="1" t="s">
        <v>15</v>
      </c>
      <c r="B3" s="1" t="s">
        <v>5</v>
      </c>
      <c r="C3" s="1">
        <v>1</v>
      </c>
      <c r="D3" s="2">
        <v>0</v>
      </c>
      <c r="E3" s="2">
        <f t="shared" si="0"/>
        <v>0</v>
      </c>
    </row>
    <row r="4" spans="1:5" ht="15.75" customHeight="1" x14ac:dyDescent="0.2">
      <c r="A4" s="1" t="s">
        <v>16</v>
      </c>
      <c r="B4" s="1" t="s">
        <v>5</v>
      </c>
      <c r="C4" s="1">
        <v>1</v>
      </c>
      <c r="D4" s="2">
        <v>0</v>
      </c>
      <c r="E4" s="2">
        <f t="shared" si="0"/>
        <v>0</v>
      </c>
    </row>
    <row r="5" spans="1:5" ht="15.75" customHeight="1" x14ac:dyDescent="0.2">
      <c r="A5" s="1" t="s">
        <v>17</v>
      </c>
      <c r="B5" s="1" t="s">
        <v>5</v>
      </c>
      <c r="C5" s="1">
        <v>1</v>
      </c>
      <c r="D5" s="2">
        <v>0</v>
      </c>
      <c r="E5" s="2">
        <f t="shared" si="0"/>
        <v>0</v>
      </c>
    </row>
    <row r="6" spans="1:5" ht="15.75" customHeight="1" x14ac:dyDescent="0.2">
      <c r="A6" s="1" t="s">
        <v>18</v>
      </c>
      <c r="B6" s="1" t="s">
        <v>5</v>
      </c>
      <c r="C6" s="1">
        <v>1</v>
      </c>
      <c r="D6" s="2">
        <v>0</v>
      </c>
      <c r="E6" s="2">
        <f t="shared" si="0"/>
        <v>0</v>
      </c>
    </row>
    <row r="7" spans="1:5" ht="15.75" customHeight="1" x14ac:dyDescent="0.2">
      <c r="A7" s="1" t="s">
        <v>19</v>
      </c>
      <c r="B7" s="3" t="s">
        <v>6</v>
      </c>
      <c r="C7" s="1">
        <v>3</v>
      </c>
      <c r="D7" s="2">
        <v>0.49586776859504134</v>
      </c>
      <c r="E7" s="2">
        <f t="shared" si="0"/>
        <v>1.4876033057851239</v>
      </c>
    </row>
    <row r="8" spans="1:5" ht="15.75" customHeight="1" x14ac:dyDescent="0.2">
      <c r="A8" s="1" t="s">
        <v>20</v>
      </c>
      <c r="B8" s="3" t="s">
        <v>6</v>
      </c>
      <c r="C8" s="1">
        <v>1</v>
      </c>
      <c r="D8" s="2">
        <v>1.28099173553719</v>
      </c>
      <c r="E8" s="2">
        <f t="shared" si="0"/>
        <v>1.28099173553719</v>
      </c>
    </row>
    <row r="9" spans="1:5" ht="15.75" customHeight="1" x14ac:dyDescent="0.2">
      <c r="A9" s="1" t="s">
        <v>21</v>
      </c>
      <c r="B9" s="3" t="s">
        <v>6</v>
      </c>
      <c r="C9" s="1">
        <v>1</v>
      </c>
      <c r="D9" s="2">
        <v>0.82644628099173556</v>
      </c>
      <c r="E9" s="2">
        <f t="shared" si="0"/>
        <v>0.82644628099173556</v>
      </c>
    </row>
    <row r="10" spans="1:5" ht="15.75" customHeight="1" x14ac:dyDescent="0.2">
      <c r="A10" s="1" t="s">
        <v>22</v>
      </c>
      <c r="B10" s="3" t="s">
        <v>6</v>
      </c>
      <c r="C10" s="1">
        <v>1</v>
      </c>
      <c r="D10" s="2">
        <v>2.8512396694214877</v>
      </c>
      <c r="E10" s="2">
        <f t="shared" si="0"/>
        <v>2.8512396694214877</v>
      </c>
    </row>
    <row r="11" spans="1:5" ht="15.75" customHeight="1" x14ac:dyDescent="0.2">
      <c r="A11" s="1" t="s">
        <v>23</v>
      </c>
      <c r="B11" s="3" t="s">
        <v>6</v>
      </c>
      <c r="C11" s="1">
        <v>1</v>
      </c>
      <c r="D11" s="2">
        <v>1.3636363636363638</v>
      </c>
      <c r="E11" s="2">
        <f t="shared" si="0"/>
        <v>1.3636363636363638</v>
      </c>
    </row>
    <row r="12" spans="1:5" ht="15.75" customHeight="1" x14ac:dyDescent="0.2">
      <c r="A12" s="1" t="s">
        <v>24</v>
      </c>
      <c r="B12" s="3" t="s">
        <v>6</v>
      </c>
      <c r="C12" s="1">
        <v>1</v>
      </c>
      <c r="D12" s="2">
        <v>2.6859504132231407</v>
      </c>
      <c r="E12" s="2">
        <f t="shared" si="0"/>
        <v>2.6859504132231407</v>
      </c>
    </row>
    <row r="13" spans="1:5" ht="15.75" customHeight="1" x14ac:dyDescent="0.2">
      <c r="A13" s="1" t="s">
        <v>25</v>
      </c>
      <c r="B13" s="1" t="s">
        <v>7</v>
      </c>
      <c r="C13" s="1">
        <v>1</v>
      </c>
      <c r="D13" s="2">
        <v>3.9256198347107438</v>
      </c>
      <c r="E13" s="2">
        <f t="shared" si="0"/>
        <v>3.9256198347107438</v>
      </c>
    </row>
    <row r="14" spans="1:5" ht="15.75" customHeight="1" x14ac:dyDescent="0.2">
      <c r="A14" s="1" t="s">
        <v>8</v>
      </c>
      <c r="B14" s="3" t="s">
        <v>9</v>
      </c>
      <c r="C14" s="1">
        <v>1</v>
      </c>
      <c r="D14" s="2">
        <v>11.818181818181818</v>
      </c>
      <c r="E14" s="2">
        <f t="shared" si="0"/>
        <v>11.818181818181818</v>
      </c>
    </row>
    <row r="15" spans="1:5" ht="15.75" customHeight="1" x14ac:dyDescent="0.2">
      <c r="A15" s="1" t="s">
        <v>10</v>
      </c>
      <c r="B15" s="3" t="s">
        <v>9</v>
      </c>
      <c r="C15" s="1">
        <v>1</v>
      </c>
      <c r="D15" s="2">
        <v>7.3966942148760335</v>
      </c>
      <c r="E15" s="2">
        <f t="shared" si="0"/>
        <v>7.3966942148760335</v>
      </c>
    </row>
    <row r="16" spans="1:5" ht="15.75" customHeight="1" x14ac:dyDescent="0.2">
      <c r="A16" s="1" t="s">
        <v>11</v>
      </c>
      <c r="B16" s="3" t="s">
        <v>9</v>
      </c>
      <c r="C16" s="1">
        <v>1</v>
      </c>
      <c r="D16" s="2">
        <v>2.8099173553719008</v>
      </c>
      <c r="E16" s="2">
        <f t="shared" si="0"/>
        <v>2.8099173553719008</v>
      </c>
    </row>
    <row r="17" spans="1:5" ht="15.75" customHeight="1" x14ac:dyDescent="0.2">
      <c r="A17" s="1" t="s">
        <v>26</v>
      </c>
      <c r="B17" s="3" t="s">
        <v>6</v>
      </c>
      <c r="C17" s="1">
        <v>1</v>
      </c>
      <c r="D17" s="2">
        <v>1.6115702479338843</v>
      </c>
      <c r="E17" s="2">
        <f t="shared" si="0"/>
        <v>1.6115702479338843</v>
      </c>
    </row>
    <row r="18" spans="1:5" ht="15.75" customHeight="1" x14ac:dyDescent="0.2">
      <c r="A18" s="1" t="s">
        <v>27</v>
      </c>
      <c r="B18" s="3" t="s">
        <v>12</v>
      </c>
      <c r="C18" s="1">
        <v>1</v>
      </c>
      <c r="D18" s="2">
        <v>3.1818181818181821</v>
      </c>
      <c r="E18" s="2">
        <f t="shared" si="0"/>
        <v>3.1818181818181821</v>
      </c>
    </row>
    <row r="19" spans="1:5" ht="15.75" customHeight="1" x14ac:dyDescent="0.2">
      <c r="A19" s="1" t="s">
        <v>28</v>
      </c>
      <c r="B19" s="3" t="s">
        <v>12</v>
      </c>
      <c r="C19" s="1">
        <v>1</v>
      </c>
      <c r="D19" s="2">
        <v>0.82644628099173556</v>
      </c>
      <c r="E19" s="2">
        <f t="shared" si="0"/>
        <v>0.82644628099173556</v>
      </c>
    </row>
    <row r="20" spans="1:5" ht="15.75" customHeight="1" x14ac:dyDescent="0.2">
      <c r="A20" s="1" t="s">
        <v>29</v>
      </c>
      <c r="B20" s="1" t="s">
        <v>13</v>
      </c>
      <c r="C20" s="1">
        <v>1</v>
      </c>
      <c r="D20" s="2">
        <v>8.4710743801652892</v>
      </c>
      <c r="E20" s="2">
        <f t="shared" si="0"/>
        <v>8.4710743801652892</v>
      </c>
    </row>
    <row r="21" spans="1:5" ht="15.75" customHeight="1" x14ac:dyDescent="0.2">
      <c r="A21" s="1" t="s">
        <v>31</v>
      </c>
      <c r="B21" s="3" t="s">
        <v>6</v>
      </c>
      <c r="C21" s="1">
        <v>1</v>
      </c>
      <c r="D21" s="2">
        <v>0.3</v>
      </c>
      <c r="E21" s="2">
        <f t="shared" si="0"/>
        <v>0.3</v>
      </c>
    </row>
    <row r="22" spans="1:5" ht="15.75" customHeight="1" x14ac:dyDescent="0.2">
      <c r="A22" s="1" t="s">
        <v>32</v>
      </c>
      <c r="B22" s="3" t="s">
        <v>6</v>
      </c>
      <c r="C22" s="1">
        <v>4</v>
      </c>
      <c r="D22" s="2">
        <v>0.9</v>
      </c>
      <c r="E22" s="2">
        <f t="shared" si="0"/>
        <v>3.6</v>
      </c>
    </row>
    <row r="23" spans="1:5" ht="15.75" customHeight="1" x14ac:dyDescent="0.2">
      <c r="A23" s="1" t="s">
        <v>33</v>
      </c>
      <c r="B23" t="s">
        <v>34</v>
      </c>
      <c r="C23" s="1">
        <v>1</v>
      </c>
      <c r="D23" s="2">
        <v>12.5</v>
      </c>
      <c r="E23" s="2">
        <f t="shared" si="0"/>
        <v>12.5</v>
      </c>
    </row>
    <row r="24" spans="1:5" ht="15.75" customHeight="1" x14ac:dyDescent="0.2">
      <c r="A24" s="6" t="s">
        <v>30</v>
      </c>
      <c r="B24" s="4"/>
      <c r="C24" s="4"/>
      <c r="D24" s="4"/>
      <c r="E24" s="5">
        <f>SUM(E2:E23)</f>
        <v>66.937190082644634</v>
      </c>
    </row>
  </sheetData>
  <hyperlinks>
    <hyperlink ref="B7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  <hyperlink ref="B11" r:id="rId5" xr:uid="{00000000-0004-0000-0000-000004000000}"/>
    <hyperlink ref="B12" r:id="rId6" xr:uid="{00000000-0004-0000-0000-000005000000}"/>
    <hyperlink ref="B14" r:id="rId7" xr:uid="{00000000-0004-0000-0000-000006000000}"/>
    <hyperlink ref="B15" r:id="rId8" xr:uid="{00000000-0004-0000-0000-000007000000}"/>
    <hyperlink ref="B16" r:id="rId9" xr:uid="{00000000-0004-0000-0000-000008000000}"/>
    <hyperlink ref="B17" r:id="rId10" xr:uid="{00000000-0004-0000-0000-000009000000}"/>
    <hyperlink ref="B18" r:id="rId11" xr:uid="{00000000-0004-0000-0000-00000A000000}"/>
    <hyperlink ref="B19" r:id="rId12" xr:uid="{00000000-0004-0000-0000-00000B000000}"/>
    <hyperlink ref="B21" r:id="rId13" xr:uid="{62A8CA65-CAA5-40CD-B0C9-EED8356EE385}"/>
    <hyperlink ref="B22" r:id="rId14" xr:uid="{1579D9CC-A543-47AA-ABCA-64652005AC1F}"/>
  </hyperlinks>
  <pageMargins left="0.7" right="0.7" top="0.78740157499999996" bottom="0.78740157499999996" header="0.3" footer="0.3"/>
  <pageSetup paperSize="9" orientation="portrait" horizontalDpi="4294967293" verticalDpi="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Simandl Martin</cp:lastModifiedBy>
  <dcterms:modified xsi:type="dcterms:W3CDTF">2026-07-31T13:23:45Z</dcterms:modified>
</cp:coreProperties>
</file>